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vygh\Documents\TESIS_PREGRADO\TESIS-DE-PREGRADO\data\"/>
    </mc:Choice>
  </mc:AlternateContent>
  <xr:revisionPtr revIDLastSave="0" documentId="13_ncr:1_{469CE1A0-5662-45EC-A9B9-82F06E0A5E86}" xr6:coauthVersionLast="47" xr6:coauthVersionMax="47" xr10:uidLastSave="{00000000-0000-0000-0000-000000000000}"/>
  <bookViews>
    <workbookView xWindow="3240" yWindow="3240" windowWidth="15375" windowHeight="7785" xr2:uid="{00000000-000D-0000-FFFF-FFFF00000000}"/>
  </bookViews>
  <sheets>
    <sheet name="Total_por_accesion" sheetId="1" r:id="rId1"/>
    <sheet name="Control de corre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1" l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<sst xmlns="http://schemas.openxmlformats.org/spreadsheetml/2006/main" count="159" uniqueCount="58">
  <si>
    <t>Grupo</t>
  </si>
  <si>
    <t>Provincia</t>
  </si>
  <si>
    <t>Distrito</t>
  </si>
  <si>
    <t>Accesión</t>
  </si>
  <si>
    <t>Total de esporas</t>
  </si>
  <si>
    <t>Promedio redondeado (Total/3)</t>
  </si>
  <si>
    <t>CA</t>
  </si>
  <si>
    <t>Chachapoyas</t>
  </si>
  <si>
    <t>Magdalena</t>
  </si>
  <si>
    <t>CA01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</si>
  <si>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</si>
  <si>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</si>
  <si>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</si>
  <si>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</si>
  <si>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</si>
  <si>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</si>
  <si>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</si>
  <si>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</si>
  <si>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</si>
  <si>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CA11</t>
  </si>
  <si>
    <t>CA13</t>
  </si>
  <si>
    <t>CA14</t>
  </si>
  <si>
    <t>CT</t>
  </si>
  <si>
    <t>CT01</t>
  </si>
  <si>
    <t>CT02</t>
  </si>
  <si>
    <t>CT03</t>
  </si>
  <si>
    <t>CT04</t>
  </si>
  <si>
    <t>CT05</t>
  </si>
  <si>
    <t>CT06</t>
  </si>
  <si>
    <t>CT07</t>
  </si>
  <si>
    <t>CT08</t>
  </si>
  <si>
    <t>CT09</t>
  </si>
  <si>
    <t>CT10</t>
  </si>
  <si>
    <t>CT11</t>
  </si>
  <si>
    <t>CT12</t>
  </si>
  <si>
    <t>CT13</t>
  </si>
  <si>
    <t>CT14</t>
  </si>
  <si>
    <t>CT15</t>
  </si>
  <si>
    <t>CT16</t>
  </si>
  <si>
    <t>CT18</t>
  </si>
  <si>
    <t>CT19</t>
  </si>
  <si>
    <t>CT20</t>
  </si>
  <si>
    <t>CT22</t>
  </si>
  <si>
    <t>CT31</t>
  </si>
  <si>
    <t>CT32</t>
  </si>
  <si>
    <t>Control de validación</t>
  </si>
  <si>
    <t>Detalle</t>
  </si>
  <si>
    <t>Archivo de referencia</t>
  </si>
  <si>
    <t>base de datos ordenada para procesar(10).xlsx, hoja fb</t>
  </si>
  <si>
    <t>Accesiones cotejadas</t>
  </si>
  <si>
    <t>Único conteo total corregido</t>
  </si>
  <si>
    <t>CT01: 218 → 246 esporas</t>
  </si>
  <si>
    <t>Criterio de densidad</t>
  </si>
  <si>
    <t>Total de esporas / 6 g (3 submuestras de 2 g)</t>
  </si>
  <si>
    <t>Promedio por submuestra</t>
  </si>
  <si>
    <t>Total de esporas / 3, redondeado</t>
  </si>
  <si>
    <t>Fuente del total</t>
  </si>
  <si>
    <t>Suma de la columna cantidad, agrupada por accesión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</si>
</sst>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5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pane ySplit="1" topLeftCell="A2" activePane="bottomLeft" state="frozen"/>
      <selection pane="bottomLeft" activeCell="I3" sqref="I3"/>
    </sheetView>
  </sheetViews>
  <sheetFormatPr baseColWidth="10" defaultColWidth="9" defaultRowHeight="14.25"/>
  <cols>
    <col min="1" max="1" width="13" customWidth="1"/>
    <col min="2" max="3" width="18" customWidth="1"/>
    <col min="4" max="4" width="15" customWidth="1"/>
    <col min="5" max="5" width="19" customWidth="1"/>
    <col min="6" max="6" width="31" customWidth="1"/>
  </cols>
  <sheetData>
    <row r="1" spans="1:6" ht="33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 s="2">
        <v>385</v>
      </c>
      <c r="F2" s="2">
        <f t="shared" ref="F2:F36" si="0">ROUND(E2/3,0)</f>
        <v>128</v>
      </c>
    </row>
    <row r="3" spans="1:6">
      <c r="A3" t="s">
        <v>6</v>
      </c>
      <c r="B3" t="s">
        <v>7</v>
      </c>
      <c r="C3" t="s">
        <v>8</v>
      </c>
      <c r="D3" s="1" t="s">
        <v>10</v>
      </c>
      <c r="E3" s="2">
        <v>1561</v>
      </c>
      <c r="F3" s="2">
        <f t="shared" si="0"/>
        <v>520</v>
      </c>
    </row>
    <row r="4" spans="1:6">
      <c r="A4" t="s">
        <v>6</v>
      </c>
      <c r="B4" t="s">
        <v>7</v>
      </c>
      <c r="C4" t="s">
        <v>8</v>
      </c>
      <c r="D4" s="1" t="s">
        <v>11</v>
      </c>
      <c r="E4" s="2">
        <v>843</v>
      </c>
      <c r="F4" s="2">
        <f t="shared" si="0"/>
        <v>281</v>
      </c>
    </row>
    <row r="5" spans="1:6">
      <c r="A5" t="s">
        <v>6</v>
      </c>
      <c r="B5" t="s">
        <v>7</v>
      </c>
      <c r="C5" t="s">
        <v>8</v>
      </c>
      <c r="D5" s="1" t="s">
        <v>12</v>
      </c>
      <c r="E5" s="2">
        <v>1945</v>
      </c>
      <c r="F5" s="2">
        <f t="shared" si="0"/>
        <v>648</v>
      </c>
    </row>
    <row r="6" spans="1:6">
      <c r="A6" t="s">
        <v>6</v>
      </c>
      <c r="B6" t="s">
        <v>7</v>
      </c>
      <c r="C6" t="s">
        <v>8</v>
      </c>
      <c r="D6" s="1" t="s">
        <v>13</v>
      </c>
      <c r="E6" s="2">
        <v>399</v>
      </c>
      <c r="F6" s="2">
        <f t="shared" si="0"/>
        <v>133</v>
      </c>
    </row>
    <row r="7" spans="1:6">
      <c r="A7" t="s">
        <v>6</v>
      </c>
      <c r="B7" t="s">
        <v>7</v>
      </c>
      <c r="C7" t="s">
        <v>8</v>
      </c>
      <c r="D7" s="1" t="s">
        <v>14</v>
      </c>
      <c r="E7" s="2">
        <v>775</v>
      </c>
      <c r="F7" s="2">
        <f t="shared" si="0"/>
        <v>258</v>
      </c>
    </row>
    <row r="8" spans="1:6">
      <c r="A8" t="s">
        <v>6</v>
      </c>
      <c r="B8" t="s">
        <v>7</v>
      </c>
      <c r="C8" t="s">
        <v>8</v>
      </c>
      <c r="D8" s="1" t="s">
        <v>15</v>
      </c>
      <c r="E8" s="2">
        <v>587</v>
      </c>
      <c r="F8" s="2">
        <f t="shared" si="0"/>
        <v>196</v>
      </c>
    </row>
    <row r="9" spans="1:6">
      <c r="A9" t="s">
        <v>6</v>
      </c>
      <c r="B9" t="s">
        <v>7</v>
      </c>
      <c r="C9" t="s">
        <v>8</v>
      </c>
      <c r="D9" s="1" t="s">
        <v>16</v>
      </c>
      <c r="E9" s="2">
        <v>530</v>
      </c>
      <c r="F9" s="2">
        <f t="shared" si="0"/>
        <v>177</v>
      </c>
    </row>
    <row r="10" spans="1:6">
      <c r="A10" t="s">
        <v>6</v>
      </c>
      <c r="B10" t="s">
        <v>7</v>
      </c>
      <c r="C10" t="s">
        <v>8</v>
      </c>
      <c r="D10" s="1" t="s">
        <v>17</v>
      </c>
      <c r="E10" s="2">
        <v>293</v>
      </c>
      <c r="F10" s="2">
        <f t="shared" si="0"/>
        <v>98</v>
      </c>
    </row>
    <row r="11" spans="1:6">
      <c r="A11" t="s">
        <v>6</v>
      </c>
      <c r="B11" t="s">
        <v>7</v>
      </c>
      <c r="C11" t="s">
        <v>8</v>
      </c>
      <c r="D11" s="1" t="s">
        <v>18</v>
      </c>
      <c r="E11" s="2">
        <v>647</v>
      </c>
      <c r="F11" s="2">
        <f t="shared" si="0"/>
        <v>216</v>
      </c>
    </row>
    <row r="12" spans="1:6">
      <c r="A12" t="s">
        <v>6</v>
      </c>
      <c r="B12" t="s">
        <v>7</v>
      </c>
      <c r="C12" t="s">
        <v>8</v>
      </c>
      <c r="D12" s="1" t="s">
        <v>19</v>
      </c>
      <c r="E12" s="2">
        <v>360</v>
      </c>
      <c r="F12" s="2">
        <f t="shared" si="0"/>
        <v>120</v>
      </c>
    </row>
    <row r="13" spans="1:6">
      <c r="A13" t="s">
        <v>6</v>
      </c>
      <c r="B13" t="s">
        <v>7</v>
      </c>
      <c r="C13" t="s">
        <v>8</v>
      </c>
      <c r="D13" s="1" t="s">
        <v>20</v>
      </c>
      <c r="E13" s="2">
        <v>259</v>
      </c>
      <c r="F13" s="2">
        <f t="shared" si="0"/>
        <v>86</v>
      </c>
    </row>
    <row r="14" spans="1:6">
      <c r="A14" t="s">
        <v>6</v>
      </c>
      <c r="B14" t="s">
        <v>7</v>
      </c>
      <c r="C14" t="s">
        <v>8</v>
      </c>
      <c r="D14" s="1" t="s">
        <v>21</v>
      </c>
      <c r="E14" s="2">
        <v>339</v>
      </c>
      <c r="F14" s="2">
        <f t="shared" si="0"/>
        <v>113</v>
      </c>
    </row>
    <row r="15" spans="1:6" s="5" customFormat="1">
      <c r="A15" s="5" t="s">
        <v>22</v>
      </c>
      <c r="B15" s="5" t="s">
        <v>7</v>
      </c>
      <c r="C15" s="5" t="s">
        <v>8</v>
      </c>
      <c r="D15" s="1" t="s">
        <v>23</v>
      </c>
      <c r="E15" s="2">
        <v>246</v>
      </c>
      <c r="F15" s="2">
        <f t="shared" si="0"/>
        <v>82</v>
      </c>
    </row>
    <row r="16" spans="1:6">
      <c r="A16" t="s">
        <v>22</v>
      </c>
      <c r="B16" t="s">
        <v>7</v>
      </c>
      <c r="C16" t="s">
        <v>8</v>
      </c>
      <c r="D16" s="1" t="s">
        <v>24</v>
      </c>
      <c r="E16" s="2">
        <v>1620</v>
      </c>
      <c r="F16" s="2">
        <f t="shared" si="0"/>
        <v>540</v>
      </c>
    </row>
    <row r="17" spans="1:6">
      <c r="A17" t="s">
        <v>22</v>
      </c>
      <c r="B17" t="s">
        <v>7</v>
      </c>
      <c r="C17" t="s">
        <v>8</v>
      </c>
      <c r="D17" s="1" t="s">
        <v>25</v>
      </c>
      <c r="E17" s="2">
        <v>1515</v>
      </c>
      <c r="F17" s="2">
        <f t="shared" si="0"/>
        <v>505</v>
      </c>
    </row>
    <row r="18" spans="1:6">
      <c r="A18" t="s">
        <v>22</v>
      </c>
      <c r="B18" t="s">
        <v>7</v>
      </c>
      <c r="C18" t="s">
        <v>8</v>
      </c>
      <c r="D18" s="1" t="s">
        <v>26</v>
      </c>
      <c r="E18" s="2">
        <v>849</v>
      </c>
      <c r="F18" s="2">
        <f t="shared" si="0"/>
        <v>283</v>
      </c>
    </row>
    <row r="19" spans="1:6">
      <c r="A19" t="s">
        <v>22</v>
      </c>
      <c r="B19" t="s">
        <v>7</v>
      </c>
      <c r="C19" t="s">
        <v>8</v>
      </c>
      <c r="D19" s="1" t="s">
        <v>27</v>
      </c>
      <c r="E19" s="2">
        <v>1180</v>
      </c>
      <c r="F19" s="2">
        <f t="shared" si="0"/>
        <v>393</v>
      </c>
    </row>
    <row r="20" spans="1:6">
      <c r="A20" t="s">
        <v>22</v>
      </c>
      <c r="B20" t="s">
        <v>7</v>
      </c>
      <c r="C20" t="s">
        <v>8</v>
      </c>
      <c r="D20" s="1" t="s">
        <v>28</v>
      </c>
      <c r="E20" s="2">
        <v>1039</v>
      </c>
      <c r="F20" s="2">
        <f t="shared" si="0"/>
        <v>346</v>
      </c>
    </row>
    <row r="21" spans="1:6">
      <c r="A21" t="s">
        <v>22</v>
      </c>
      <c r="B21" t="s">
        <v>7</v>
      </c>
      <c r="C21" t="s">
        <v>8</v>
      </c>
      <c r="D21" s="1" t="s">
        <v>29</v>
      </c>
      <c r="E21" s="2">
        <v>465</v>
      </c>
      <c r="F21" s="2">
        <f t="shared" si="0"/>
        <v>155</v>
      </c>
    </row>
    <row r="22" spans="1:6">
      <c r="A22" t="s">
        <v>22</v>
      </c>
      <c r="B22" t="s">
        <v>7</v>
      </c>
      <c r="C22" t="s">
        <v>8</v>
      </c>
      <c r="D22" s="1" t="s">
        <v>30</v>
      </c>
      <c r="E22" s="2">
        <v>493</v>
      </c>
      <c r="F22" s="2">
        <f t="shared" si="0"/>
        <v>164</v>
      </c>
    </row>
    <row r="23" spans="1:6">
      <c r="A23" t="s">
        <v>22</v>
      </c>
      <c r="B23" t="s">
        <v>7</v>
      </c>
      <c r="C23" t="s">
        <v>8</v>
      </c>
      <c r="D23" s="1" t="s">
        <v>31</v>
      </c>
      <c r="E23" s="2">
        <v>315</v>
      </c>
      <c r="F23" s="2">
        <f t="shared" si="0"/>
        <v>105</v>
      </c>
    </row>
    <row r="24" spans="1:6">
      <c r="A24" t="s">
        <v>22</v>
      </c>
      <c r="B24" t="s">
        <v>7</v>
      </c>
      <c r="C24" t="s">
        <v>8</v>
      </c>
      <c r="D24" s="1" t="s">
        <v>32</v>
      </c>
      <c r="E24" s="2">
        <v>766</v>
      </c>
      <c r="F24" s="2">
        <f t="shared" si="0"/>
        <v>255</v>
      </c>
    </row>
    <row r="25" spans="1:6">
      <c r="A25" t="s">
        <v>22</v>
      </c>
      <c r="B25" t="s">
        <v>7</v>
      </c>
      <c r="C25" t="s">
        <v>8</v>
      </c>
      <c r="D25" s="1" t="s">
        <v>33</v>
      </c>
      <c r="E25" s="2">
        <v>527</v>
      </c>
      <c r="F25" s="2">
        <f t="shared" si="0"/>
        <v>176</v>
      </c>
    </row>
    <row r="26" spans="1:6">
      <c r="A26" t="s">
        <v>22</v>
      </c>
      <c r="B26" t="s">
        <v>7</v>
      </c>
      <c r="C26" t="s">
        <v>8</v>
      </c>
      <c r="D26" s="1" t="s">
        <v>34</v>
      </c>
      <c r="E26" s="2">
        <v>712</v>
      </c>
      <c r="F26" s="2">
        <f t="shared" si="0"/>
        <v>237</v>
      </c>
    </row>
    <row r="27" spans="1:6">
      <c r="A27" t="s">
        <v>22</v>
      </c>
      <c r="B27" t="s">
        <v>7</v>
      </c>
      <c r="C27" t="s">
        <v>8</v>
      </c>
      <c r="D27" s="1" t="s">
        <v>35</v>
      </c>
      <c r="E27" s="2">
        <v>944</v>
      </c>
      <c r="F27" s="2">
        <f t="shared" si="0"/>
        <v>315</v>
      </c>
    </row>
    <row r="28" spans="1:6">
      <c r="A28" t="s">
        <v>22</v>
      </c>
      <c r="B28" t="s">
        <v>7</v>
      </c>
      <c r="C28" t="s">
        <v>8</v>
      </c>
      <c r="D28" s="1" t="s">
        <v>36</v>
      </c>
      <c r="E28" s="2">
        <v>976</v>
      </c>
      <c r="F28" s="2">
        <f t="shared" si="0"/>
        <v>325</v>
      </c>
    </row>
    <row r="29" spans="1:6">
      <c r="A29" t="s">
        <v>22</v>
      </c>
      <c r="B29" t="s">
        <v>7</v>
      </c>
      <c r="C29" t="s">
        <v>8</v>
      </c>
      <c r="D29" s="1" t="s">
        <v>37</v>
      </c>
      <c r="E29" s="2">
        <v>724</v>
      </c>
      <c r="F29" s="2">
        <f t="shared" si="0"/>
        <v>241</v>
      </c>
    </row>
    <row r="30" spans="1:6">
      <c r="A30" t="s">
        <v>22</v>
      </c>
      <c r="B30" t="s">
        <v>7</v>
      </c>
      <c r="C30" t="s">
        <v>8</v>
      </c>
      <c r="D30" s="1" t="s">
        <v>38</v>
      </c>
      <c r="E30" s="2">
        <v>888</v>
      </c>
      <c r="F30" s="2">
        <f t="shared" si="0"/>
        <v>296</v>
      </c>
    </row>
    <row r="31" spans="1:6">
      <c r="A31" t="s">
        <v>22</v>
      </c>
      <c r="B31" t="s">
        <v>7</v>
      </c>
      <c r="C31" t="s">
        <v>8</v>
      </c>
      <c r="D31" s="1" t="s">
        <v>39</v>
      </c>
      <c r="E31" s="2">
        <v>710</v>
      </c>
      <c r="F31" s="2">
        <f t="shared" si="0"/>
        <v>237</v>
      </c>
    </row>
    <row r="32" spans="1:6">
      <c r="A32" t="s">
        <v>22</v>
      </c>
      <c r="B32" t="s">
        <v>7</v>
      </c>
      <c r="C32" t="s">
        <v>8</v>
      </c>
      <c r="D32" s="1" t="s">
        <v>40</v>
      </c>
      <c r="E32" s="2">
        <v>783</v>
      </c>
      <c r="F32" s="2">
        <f t="shared" si="0"/>
        <v>261</v>
      </c>
    </row>
    <row r="33" spans="1:6">
      <c r="A33" t="s">
        <v>22</v>
      </c>
      <c r="B33" t="s">
        <v>7</v>
      </c>
      <c r="C33" t="s">
        <v>8</v>
      </c>
      <c r="D33" s="1" t="s">
        <v>41</v>
      </c>
      <c r="E33" s="2">
        <v>522</v>
      </c>
      <c r="F33" s="2">
        <f t="shared" si="0"/>
        <v>174</v>
      </c>
    </row>
    <row r="34" spans="1:6">
      <c r="A34" t="s">
        <v>22</v>
      </c>
      <c r="B34" t="s">
        <v>7</v>
      </c>
      <c r="C34" t="s">
        <v>8</v>
      </c>
      <c r="D34" s="1" t="s">
        <v>42</v>
      </c>
      <c r="E34" s="2">
        <v>448</v>
      </c>
      <c r="F34" s="2">
        <f t="shared" si="0"/>
        <v>149</v>
      </c>
    </row>
    <row r="35" spans="1:6">
      <c r="A35" t="s">
        <v>22</v>
      </c>
      <c r="B35" t="s">
        <v>7</v>
      </c>
      <c r="C35" t="s">
        <v>8</v>
      </c>
      <c r="D35" s="1" t="s">
        <v>43</v>
      </c>
      <c r="E35" s="2">
        <v>545</v>
      </c>
      <c r="F35" s="2">
        <f t="shared" si="0"/>
        <v>182</v>
      </c>
    </row>
    <row r="36" spans="1:6">
      <c r="A36" t="s">
        <v>22</v>
      </c>
      <c r="B36" t="s">
        <v>7</v>
      </c>
      <c r="C36" t="s">
        <v>8</v>
      </c>
      <c r="D36" s="1" t="s">
        <v>44</v>
      </c>
      <c r="E36" s="2">
        <v>471</v>
      </c>
      <c r="F36" s="2">
        <f t="shared" si="0"/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" defaultRowHeight="14.25"/>
  <cols>
    <col min="1" max="1" width="31" customWidth="1"/>
    <col min="2" max="2" width="68" customWidth="1"/>
  </cols>
  <sheetData>
    <row r="1" spans="1:2" ht="26.1" customHeight="1">
      <c r="A1" s="3" t="s">
        <v>45</v>
      </c>
      <c r="B1" s="3" t="s">
        <v>46</v>
      </c>
    </row>
    <row r="2" spans="1:2">
      <c r="A2" t="s">
        <v>47</v>
      </c>
      <c r="B2" t="s">
        <v>48</v>
      </c>
    </row>
    <row r="3" spans="1:2">
      <c r="A3" t="s">
        <v>49</v>
      </c>
      <c r="B3">
        <v>35</v>
      </c>
    </row>
    <row r="4" spans="1:2">
      <c r="A4" t="s">
        <v>50</v>
      </c>
      <c r="B4" t="s">
        <v>51</v>
      </c>
    </row>
    <row r="5" spans="1:2">
      <c r="A5" t="s">
        <v>52</v>
      </c>
      <c r="B5" t="s">
        <v>53</v>
      </c>
    </row>
    <row r="6" spans="1:2">
      <c r="A6" t="s">
        <v>54</v>
      </c>
      <c r="B6" t="s">
        <v>55</v>
      </c>
    </row>
    <row r="7" spans="1:2">
      <c r="A7" t="s">
        <v>56</v>
      </c>
      <c r="B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Total_por_accesion</vt:lpstr>
      <vt:lpstr>Control de correcciones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ghjfkld gjfkld</cp:lastModifiedBy>
  <dcterms:modified xsi:type="dcterms:W3CDTF">2026-10-24T23:41:09Z</dcterms:modified>
</cp:coreProperties>
</file>